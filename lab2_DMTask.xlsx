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I\DataMinning\day2\"/>
    </mc:Choice>
  </mc:AlternateContent>
  <xr:revisionPtr revIDLastSave="0" documentId="13_ncr:1_{C10A003B-4B02-4D58-8A5A-76824766127F}" xr6:coauthVersionLast="47" xr6:coauthVersionMax="47" xr10:uidLastSave="{00000000-0000-0000-0000-000000000000}"/>
  <bookViews>
    <workbookView xWindow="-110" yWindow="-110" windowWidth="19420" windowHeight="10300" activeTab="1" xr2:uid="{C96A2060-8C60-4877-9EE7-CD5638CF1A73}"/>
  </bookViews>
  <sheets>
    <sheet name="cluster1" sheetId="1" r:id="rId1"/>
    <sheet name="classifaction" sheetId="2" r:id="rId2"/>
    <sheet name="cluster2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3" l="1"/>
  <c r="L17" i="3"/>
  <c r="P16" i="3"/>
  <c r="O16" i="3"/>
  <c r="L16" i="3"/>
  <c r="L15" i="3"/>
  <c r="L14" i="3"/>
  <c r="P13" i="3"/>
  <c r="O13" i="3"/>
  <c r="J28" i="3" s="1"/>
  <c r="L13" i="3"/>
  <c r="L12" i="3"/>
  <c r="L8" i="3"/>
  <c r="K8" i="3"/>
  <c r="J8" i="3"/>
  <c r="L7" i="3"/>
  <c r="K7" i="3"/>
  <c r="J7" i="3"/>
  <c r="P6" i="3"/>
  <c r="O6" i="3"/>
  <c r="L6" i="3"/>
  <c r="K6" i="3"/>
  <c r="J6" i="3"/>
  <c r="L5" i="3"/>
  <c r="K5" i="3"/>
  <c r="J5" i="3"/>
  <c r="L4" i="3"/>
  <c r="K4" i="3"/>
  <c r="J4" i="3"/>
  <c r="P3" i="3"/>
  <c r="K14" i="3" s="1"/>
  <c r="O3" i="3"/>
  <c r="J18" i="3" s="1"/>
  <c r="L3" i="3"/>
  <c r="K3" i="3"/>
  <c r="J3" i="3"/>
  <c r="L2" i="3"/>
  <c r="K2" i="3"/>
  <c r="J2" i="3"/>
  <c r="I17" i="2"/>
  <c r="J17" i="2"/>
  <c r="L14" i="1"/>
  <c r="L15" i="1"/>
  <c r="L16" i="1"/>
  <c r="L17" i="1"/>
  <c r="L18" i="1"/>
  <c r="L19" i="1"/>
  <c r="L20" i="1"/>
  <c r="L13" i="1"/>
  <c r="K14" i="1"/>
  <c r="K15" i="1"/>
  <c r="K16" i="1"/>
  <c r="K17" i="1"/>
  <c r="K18" i="1"/>
  <c r="K19" i="1"/>
  <c r="K20" i="1"/>
  <c r="K13" i="1"/>
  <c r="J14" i="1"/>
  <c r="J15" i="1"/>
  <c r="J16" i="1"/>
  <c r="J17" i="1"/>
  <c r="J18" i="1"/>
  <c r="J19" i="1"/>
  <c r="J20" i="1"/>
  <c r="J13" i="1"/>
  <c r="Q6" i="1"/>
  <c r="Q3" i="1"/>
  <c r="P3" i="1"/>
  <c r="P6" i="1"/>
  <c r="O6" i="1"/>
  <c r="O3" i="1"/>
  <c r="K9" i="1"/>
  <c r="L3" i="1"/>
  <c r="L4" i="1"/>
  <c r="L5" i="1"/>
  <c r="L6" i="1"/>
  <c r="L7" i="1"/>
  <c r="L8" i="1"/>
  <c r="L9" i="1"/>
  <c r="L2" i="1"/>
  <c r="K3" i="1"/>
  <c r="K4" i="1"/>
  <c r="K5" i="1"/>
  <c r="K6" i="1"/>
  <c r="K7" i="1"/>
  <c r="K8" i="1"/>
  <c r="K2" i="1"/>
  <c r="J2" i="1"/>
  <c r="J3" i="1"/>
  <c r="J4" i="1"/>
  <c r="J5" i="1"/>
  <c r="J6" i="1"/>
  <c r="J7" i="1"/>
  <c r="J8" i="1"/>
  <c r="J9" i="1"/>
  <c r="K16" i="3" l="1"/>
  <c r="J22" i="3"/>
  <c r="J14" i="3"/>
  <c r="K18" i="3"/>
  <c r="K28" i="3"/>
  <c r="J25" i="3"/>
  <c r="K25" i="3"/>
  <c r="J12" i="3"/>
  <c r="J26" i="3"/>
  <c r="K22" i="3"/>
  <c r="K26" i="3"/>
  <c r="J13" i="3"/>
  <c r="J15" i="3"/>
  <c r="J17" i="3"/>
  <c r="J23" i="3"/>
  <c r="J27" i="3"/>
  <c r="K13" i="3"/>
  <c r="K15" i="3"/>
  <c r="K17" i="3"/>
  <c r="K23" i="3"/>
  <c r="K27" i="3"/>
  <c r="K12" i="3"/>
  <c r="J24" i="3"/>
  <c r="J16" i="3"/>
  <c r="K24" i="3"/>
</calcChain>
</file>

<file path=xl/sharedStrings.xml><?xml version="1.0" encoding="utf-8"?>
<sst xmlns="http://schemas.openxmlformats.org/spreadsheetml/2006/main" count="112" uniqueCount="46">
  <si>
    <t>X</t>
  </si>
  <si>
    <t>Y</t>
  </si>
  <si>
    <t>A1</t>
  </si>
  <si>
    <t>A2</t>
  </si>
  <si>
    <t>A3</t>
  </si>
  <si>
    <t>A4</t>
  </si>
  <si>
    <t>A5</t>
  </si>
  <si>
    <t>A6</t>
  </si>
  <si>
    <t>A7</t>
  </si>
  <si>
    <t>A8</t>
  </si>
  <si>
    <t>i</t>
  </si>
  <si>
    <t>A1(2,10)</t>
  </si>
  <si>
    <t>A3(8,4)</t>
  </si>
  <si>
    <t>Type</t>
  </si>
  <si>
    <t>A7(1,2)</t>
  </si>
  <si>
    <t>C1</t>
  </si>
  <si>
    <t>C3</t>
  </si>
  <si>
    <t>C2</t>
  </si>
  <si>
    <t>C1_MEAN</t>
  </si>
  <si>
    <t>C2_MEAN</t>
  </si>
  <si>
    <t>C3_MEAN</t>
  </si>
  <si>
    <t>p(YES )</t>
  </si>
  <si>
    <t>P(NO)</t>
  </si>
  <si>
    <t>P (CHILLS=YES |  FLU=YES)</t>
  </si>
  <si>
    <t>P (CHILLS=YES |  FLU=NO)</t>
  </si>
  <si>
    <t>P (RUNNY NOSE=NO |  FLU=YES)</t>
  </si>
  <si>
    <t>P (RUNNY NOSE=NO |  FLU=NO)</t>
  </si>
  <si>
    <t>P(HEADACHE=MILD  |FLU=YES)</t>
  </si>
  <si>
    <t>P(HEADACHE=MILD  |FLU=NO)</t>
  </si>
  <si>
    <t>P(FEVER=YES | FLU=YES</t>
  </si>
  <si>
    <t>P(FEVER=YES | FLU=NO</t>
  </si>
  <si>
    <t>P(X | FLU=YES) P(FLU=YES)</t>
  </si>
  <si>
    <t>P(X | FLU=NO) P(FLU=NO)</t>
  </si>
  <si>
    <t>SUBJECT</t>
  </si>
  <si>
    <t>A</t>
  </si>
  <si>
    <t>B</t>
  </si>
  <si>
    <t>1(1,1)</t>
  </si>
  <si>
    <t>7(3.5,4.5)</t>
  </si>
  <si>
    <t>6(5,7)</t>
  </si>
  <si>
    <t>TYPE</t>
  </si>
  <si>
    <t>1_MEAN</t>
  </si>
  <si>
    <t>2_MEAN</t>
  </si>
  <si>
    <t>3_MEAN</t>
  </si>
  <si>
    <t>No change</t>
  </si>
  <si>
    <t>Column1</t>
  </si>
  <si>
    <t>No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</si>
</sst>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3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9E2E2074-D55F-4156-91CF-EFCCE27F39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cluster1!$C$1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7709F77-7E77-440B-9E4C-4E91113C5F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A23-49F0-82BD-D2F76DA620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E67EAAB-D3A1-4193-8728-25826A3F1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A23-49F0-82BD-D2F76DA620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38FDE21-659F-4FF8-A9FB-B7F3CF8919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A23-49F0-82BD-D2F76DA620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A88F455-EBEC-4798-AA0D-EF128536B3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A23-49F0-82BD-D2F76DA620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72B88E-C3E7-4800-B6F7-F2A63B552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A23-49F0-82BD-D2F76DA620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64B5909-F81D-4261-9851-A1E531F31A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A23-49F0-82BD-D2F76DA620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ED31F0B-095F-4FCB-BD70-5DF5416DAC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A23-49F0-82BD-D2F76DA620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E1238FE-A551-42B1-B14B-647CAC2DD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A23-49F0-82BD-D2F76DA620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cluster1!$B$2:$B$9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8</c:v>
                </c:pt>
                <c:pt idx="3">
                  <c:v>5</c:v>
                </c:pt>
                <c:pt idx="4">
                  <c:v>7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</c:numCache>
            </c:numRef>
          </c:xVal>
          <c:yVal>
            <c:numRef>
              <c:f>cluster1!$C$2:$C$9</c:f>
              <c:numCache>
                <c:formatCode>General</c:formatCode>
                <c:ptCount val="8"/>
                <c:pt idx="0">
                  <c:v>10</c:v>
                </c:pt>
                <c:pt idx="1">
                  <c:v>5</c:v>
                </c:pt>
                <c:pt idx="2">
                  <c:v>4</c:v>
                </c:pt>
                <c:pt idx="3">
                  <c:v>8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cluster1!$A$2:$A$9</c15:f>
                <c15:dlblRangeCache>
                  <c:ptCount val="8"/>
                  <c:pt idx="0">
                    <c:v>A1</c:v>
                  </c:pt>
                  <c:pt idx="1">
                    <c:v>A2</c:v>
                  </c:pt>
                  <c:pt idx="2">
                    <c:v>A3</c:v>
                  </c:pt>
                  <c:pt idx="3">
                    <c:v>A4</c:v>
                  </c:pt>
                  <c:pt idx="4">
                    <c:v>A5</c:v>
                  </c:pt>
                  <c:pt idx="5">
                    <c:v>A6</c:v>
                  </c:pt>
                  <c:pt idx="6">
                    <c:v>A7</c:v>
                  </c:pt>
                  <c:pt idx="7">
                    <c:v>A8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182-4F70-A4C2-CF90AD33855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40536079"/>
        <c:axId val="1540536559"/>
      </c:scatterChart>
      <c:valAx>
        <c:axId val="1540536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36559"/>
        <c:crosses val="autoZero"/>
        <c:crossBetween val="midCat"/>
      </c:valAx>
      <c:valAx>
        <c:axId val="15405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536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[1]Sheet2!$C$1</c:f>
              <c:strCache>
                <c:ptCount val="1"/>
                <c:pt idx="0">
                  <c:v>B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BEB48ED-3DFC-4661-A4E4-2DAB3A38C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F99-4638-B286-890729AAFDB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522EBB-7074-4CD2-8E59-9CBA2C8A1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F99-4638-B286-890729AAFDB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A428DD-1BBB-4E8F-B3C6-81159A07E6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F99-4638-B286-890729AAFDB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6969466-47FE-40F3-A8AC-5C1BE4E5B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F99-4638-B286-890729AAFDB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2129F3-5FE6-4111-8133-4FEDD716B4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F99-4638-B286-890729AAFDB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361287-DD78-4F5A-A810-0FB9C6C28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F99-4638-B286-890729AAFDB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299F23-05DB-465A-A3D8-60696E5298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F99-4638-B286-890729AAFD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[1]Sheet2!$B$2:$B$8</c:f>
              <c:numCache>
                <c:formatCode>General</c:formatCode>
                <c:ptCount val="7"/>
                <c:pt idx="0">
                  <c:v>1</c:v>
                </c:pt>
                <c:pt idx="1">
                  <c:v>1.5</c:v>
                </c:pt>
                <c:pt idx="2">
                  <c:v>3</c:v>
                </c:pt>
                <c:pt idx="3">
                  <c:v>5</c:v>
                </c:pt>
                <c:pt idx="4">
                  <c:v>3.5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[1]Sheet2!$C$2:$C$8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5</c:v>
                </c:pt>
                <c:pt idx="5">
                  <c:v>5</c:v>
                </c:pt>
                <c:pt idx="6">
                  <c:v>4.5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cluster2!$A$2:$A$8</c15:f>
                <c15:dlblRangeCache>
                  <c:ptCount val="7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AC4-4D6E-9B5F-77C0FB78EB3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490247903"/>
        <c:axId val="1490254623"/>
      </c:scatterChart>
      <c:valAx>
        <c:axId val="149024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254623"/>
        <c:crosses val="autoZero"/>
        <c:crossBetween val="midCat"/>
      </c:valAx>
      <c:valAx>
        <c:axId val="149025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24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179264</xdr:rowOff>
    </xdr:from>
    <xdr:to>
      <xdr:col>7</xdr:col>
      <xdr:colOff>151423</xdr:colOff>
      <xdr:row>25</xdr:row>
      <xdr:rowOff>187080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7C88B9-1A21-2028-4BE8-82DFD7A77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211667</xdr:colOff>
      <xdr:row>14</xdr:row>
      <xdr:rowOff>89552</xdr:rowOff>
    </xdr:from>
    <xdr:to>
      <xdr:col>14</xdr:col>
      <xdr:colOff>8141</xdr:colOff>
      <xdr:row>15</xdr:row>
      <xdr:rowOff>32564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EC7E725-D20A-A980-B241-A3FC93775FED}"/>
            </a:ext>
          </a:extLst>
        </xdr:cNvPr>
        <xdr:cNvCxnSpPr/>
      </xdr:nvCxnSpPr>
      <xdr:spPr>
        <a:xfrm flipH="1">
          <a:off x="9752949" y="2710962"/>
          <a:ext cx="944359" cy="130256"/>
        </a:xfrm>
        <a:prstGeom prst="straightConnector1">
          <a:avLst/>
        </a:prstGeom>
        <a:ln w="19050" cap="flat" cmpd="sng" algn="ctr">
          <a:solidFill>
            <a:schemeClr val="accent3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120650</xdr:rowOff>
    </xdr:from>
    <xdr:to>
      <xdr:col>7</xdr:col>
      <xdr:colOff>101235</xdr:colOff>
      <xdr:row>15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5D4AE-8D9E-440F-A4D2-910770ECE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0650"/>
          <a:ext cx="4368435" cy="2667000"/>
        </a:xfrm>
        <a:prstGeom prst="rect">
          <a:avLst/>
        </a:prstGeom>
      </xdr:spPr>
    </xdr:pic>
    <xdr:clientData/>
  </xdr:twoCellAnchor>
  <xdr:twoCellAnchor>
    <xdr:from>
      <xdr:col>6</xdr:col>
      <xdr:colOff>323850</xdr:colOff>
      <xdr:row>14</xdr:row>
      <xdr:rowOff>0</xdr:rowOff>
    </xdr:from>
    <xdr:to>
      <xdr:col>6</xdr:col>
      <xdr:colOff>463550</xdr:colOff>
      <xdr:row>15</xdr:row>
      <xdr:rowOff>88900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B95DE5F-B8F7-CB47-5BE9-7257599295B3}"/>
            </a:ext>
          </a:extLst>
        </xdr:cNvPr>
        <xdr:cNvCxnSpPr/>
      </xdr:nvCxnSpPr>
      <xdr:spPr>
        <a:xfrm>
          <a:off x="3981450" y="2578100"/>
          <a:ext cx="139700" cy="2730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10</xdr:row>
      <xdr:rowOff>14287</xdr:rowOff>
    </xdr:from>
    <xdr:to>
      <xdr:col>7</xdr:col>
      <xdr:colOff>361950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8A448F-9624-49AA-BE1E-13A060C1B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Book2%20(1).xlsx" TargetMode="External"/><Relationship Id="rId1" Type="http://schemas.openxmlformats.org/officeDocument/2006/relationships/externalLinkPath" Target="file:///C:\Users\HP\Downloads\Book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/>
      <sheetData sheetId="1">
        <row r="1">
          <cell r="C1" t="str">
            <v>B</v>
          </cell>
        </row>
        <row r="2">
          <cell r="B2">
            <v>1</v>
          </cell>
          <cell r="C2">
            <v>1</v>
          </cell>
        </row>
        <row r="3">
          <cell r="B3">
            <v>1.5</v>
          </cell>
          <cell r="C3">
            <v>2</v>
          </cell>
        </row>
        <row r="4">
          <cell r="B4">
            <v>3</v>
          </cell>
          <cell r="C4">
            <v>4</v>
          </cell>
        </row>
        <row r="5">
          <cell r="B5">
            <v>5</v>
          </cell>
          <cell r="C5">
            <v>7</v>
          </cell>
        </row>
        <row r="6">
          <cell r="B6">
            <v>3.5</v>
          </cell>
          <cell r="C6">
            <v>5</v>
          </cell>
        </row>
        <row r="7">
          <cell r="B7">
            <v>4.5</v>
          </cell>
          <cell r="C7">
            <v>5</v>
          </cell>
        </row>
        <row r="8">
          <cell r="B8">
            <v>3.5</v>
          </cell>
          <cell r="C8">
            <v>4.5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ED00511-AE6C-4A06-8D03-052615760135}" name="Table13" displayName="Table13" ref="A1:C9" totalsRowShown="0" headerRowDxfId="2" dataDxfId="3">
  <autoFilter ref="A1:C9" xr:uid="{1ED00511-AE6C-4A06-8D03-052615760135}"/>
  <tableColumns count="3">
    <tableColumn id="1" xr3:uid="{9A834748-C2A4-4E9F-B906-F42297DCA1BB}" name="Column1" dataDxfId="6"/>
    <tableColumn id="2" xr3:uid="{EFF2FAB3-1BC3-404B-A0EC-3A749934B343}" name="X" dataDxfId="5"/>
    <tableColumn id="3" xr3:uid="{C7B0F196-E641-461D-96AD-5A024BB27A0D}" name="Y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D441729-17F7-47AF-8D4C-F816565B0239}" name="Table14" displayName="Table14" ref="I1:M9" totalsRowShown="0">
  <autoFilter ref="I1:M9" xr:uid="{9D441729-17F7-47AF-8D4C-F816565B0239}"/>
  <tableColumns count="5">
    <tableColumn id="1" xr3:uid="{6A04DD01-3A23-4A39-9D8B-7CCC4CB32C24}" name="i" dataDxfId="1"/>
    <tableColumn id="2" xr3:uid="{D8744A8D-497D-44E9-B095-0C6249CA6C7C}" name="A1(2,10)">
      <calculatedColumnFormula>SQRT(POWER((B2-2),2)+ POWER((C2-10),2))</calculatedColumnFormula>
    </tableColumn>
    <tableColumn id="3" xr3:uid="{952F2EAA-384A-40F4-A183-46C0E0604CD6}" name="A3(8,4)">
      <calculatedColumnFormula>SQRT(POWER((B2-8),2)+ POWER((C2-4),2))</calculatedColumnFormula>
    </tableColumn>
    <tableColumn id="4" xr3:uid="{AAC9A92D-11AC-44C1-86D3-8D13269A7787}" name="A7(1,2)">
      <calculatedColumnFormula>SQRT(POWER((B2-1),2)+ POWER((C2-2),2))</calculatedColumnFormula>
    </tableColumn>
    <tableColumn id="5" xr3:uid="{3B460EB3-386F-4406-A023-46B6134024DF}" name="Typ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DFF1BC0-8557-449B-9007-D746E218D7CE}" name="Table15" displayName="Table15" ref="I12:M20" totalsRowShown="0">
  <autoFilter ref="I12:M20" xr:uid="{BDFF1BC0-8557-449B-9007-D746E218D7CE}"/>
  <tableColumns count="5">
    <tableColumn id="1" xr3:uid="{A536D46F-DCF0-4B46-83B0-E2B1B4C9E91F}" name="i" dataDxfId="0"/>
    <tableColumn id="2" xr3:uid="{25379211-D0BF-4114-A8CC-898ECF71A7C6}" name="C1_MEAN">
      <calculatedColumnFormula>SQRT(POWER((B2-$O$3),2)+ POWER((C2-$O$6),2))</calculatedColumnFormula>
    </tableColumn>
    <tableColumn id="3" xr3:uid="{D52A8092-EF61-4B13-8840-800F80F00CDC}" name="C2_MEAN">
      <calculatedColumnFormula>SQRT(POWER((B2-$P$3),2)+ POWER((C2-$P$6),2))</calculatedColumnFormula>
    </tableColumn>
    <tableColumn id="4" xr3:uid="{BA6B4125-67FC-4F32-90F7-471820A4CE21}" name="C3_MEAN">
      <calculatedColumnFormula>SQRT(POWER((B2-$Q$3),2)+ POWER((C2-$Q$6),2))</calculatedColumnFormula>
    </tableColumn>
    <tableColumn id="5" xr3:uid="{EDCFC65B-EA07-4BDB-928B-76F422B49C62}" name="Type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5EC7E03-CB31-4700-AFC0-A705252FEE23}" name="Table16" displayName="Table16" ref="O1:Q6" totalsRowShown="0">
  <autoFilter ref="O1:Q6" xr:uid="{F5EC7E03-CB31-4700-AFC0-A705252FEE23}"/>
  <tableColumns count="3">
    <tableColumn id="1" xr3:uid="{DB192A20-38F6-4D8B-8B48-370CDA94AA54}" name="C1_MEAN"/>
    <tableColumn id="2" xr3:uid="{0DD4C9CD-D6C4-4E6C-823B-FE844E93FB6D}" name="C2_MEAN"/>
    <tableColumn id="3" xr3:uid="{742A0E40-5312-4686-832F-C07B8AD6481A}" name="C3_MEAN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A005051-CF8E-4073-8F5B-951F12087B65}" name="Table7" displayName="Table7" ref="I1:J2" totalsRowShown="0">
  <autoFilter ref="I1:J2" xr:uid="{7A005051-CF8E-4073-8F5B-951F12087B65}"/>
  <tableColumns count="2">
    <tableColumn id="1" xr3:uid="{2C16E5F1-C30E-4333-AE57-C5B53D569753}" name="p(YES )" dataDxfId="16"/>
    <tableColumn id="2" xr3:uid="{21C9BDFB-4BE6-4828-A1DC-5761946B8D2F}" name="P(NO)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0EB1D79-37C4-4AEC-AD20-4D523BBDC3AF}" name="Table8" displayName="Table8" ref="I4:J5" totalsRowShown="0">
  <autoFilter ref="I4:J5" xr:uid="{B0EB1D79-37C4-4AEC-AD20-4D523BBDC3AF}"/>
  <tableColumns count="2">
    <tableColumn id="1" xr3:uid="{5F0B2FEE-DD4B-43F4-8A2B-000E5C285A30}" name="P (CHILLS=YES |  FLU=YES)" dataDxfId="14"/>
    <tableColumn id="2" xr3:uid="{C844F9DA-6936-4713-9167-6F87496E7930}" name="P (CHILLS=YES |  FLU=NO)" dataDxfId="13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47A2C0D-1D76-4DD9-8D5D-93D5B6B1E558}" name="Table9" displayName="Table9" ref="I7:J8" totalsRowShown="0">
  <autoFilter ref="I7:J8" xr:uid="{547A2C0D-1D76-4DD9-8D5D-93D5B6B1E558}"/>
  <tableColumns count="2">
    <tableColumn id="1" xr3:uid="{86D963CD-873C-418C-85E0-1712EE7068CB}" name="P (RUNNY NOSE=NO |  FLU=YES)" dataDxfId="12"/>
    <tableColumn id="2" xr3:uid="{CEB9FD2A-2DED-4E37-AF2F-B2E9C3F58905}" name="P (RUNNY NOSE=NO |  FLU=NO)" dataDxfId="11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9F3184F-F959-49DE-B9B2-C3E807425A14}" name="Table10" displayName="Table10" ref="I10:J11" totalsRowShown="0">
  <autoFilter ref="I10:J11" xr:uid="{89F3184F-F959-49DE-B9B2-C3E807425A14}"/>
  <tableColumns count="2">
    <tableColumn id="1" xr3:uid="{D23FC1E3-4D54-4925-B4FC-633864E47F14}" name="P(HEADACHE=MILD  |FLU=YES)" dataDxfId="10"/>
    <tableColumn id="2" xr3:uid="{535A7E55-C656-421C-ACDF-3BF60F6040A6}" name="P(HEADACHE=MILD  |FLU=NO)" dataDxfId="9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BBA439-916E-4881-A388-87CBFB94B169}" name="Table11" displayName="Table11" ref="I13:J14" totalsRowShown="0">
  <autoFilter ref="I13:J14" xr:uid="{15BBA439-916E-4881-A388-87CBFB94B169}"/>
  <tableColumns count="2">
    <tableColumn id="1" xr3:uid="{1C88B63B-CBBC-4E4D-87AA-9D56783A653E}" name="P(FEVER=YES | FLU=YES" dataDxfId="8"/>
    <tableColumn id="2" xr3:uid="{714313FE-2CB1-4974-889C-7795EC3D660B}" name="P(FEVER=YES | FLU=NO" dataDxfId="7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137AA33-E2D2-4E60-A2B7-8A0C6D8948D9}" name="Table12" displayName="Table12" ref="I16:J17" totalsRowShown="0">
  <autoFilter ref="I16:J17" xr:uid="{8137AA33-E2D2-4E60-A2B7-8A0C6D8948D9}"/>
  <tableColumns count="2">
    <tableColumn id="1" xr3:uid="{A9B2A7E9-F841-4371-BE73-E475030A531F}" name="P(X | FLU=YES) P(FLU=YES)">
      <calculatedColumnFormula>I2*I5*I8*I11*I14</calculatedColumnFormula>
    </tableColumn>
    <tableColumn id="2" xr3:uid="{8A9F47FB-E0F5-4533-9B3A-70824F30F315}" name="P(X | FLU=NO) P(FLU=NO)">
      <calculatedColumnFormula>J2*J5*J8*J11*J14</calculatedColumnFormula>
    </tableColumn>
  </tableColumns>
  <tableStyleInfo name="TableStyleMedium2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F0379-6E65-4017-B7F0-DD24655EBC1D}" name="Table1" displayName="Table1" ref="A1:C8" totalsRowShown="0" headerRowDxfId="33" dataDxfId="34" tableBorderDxfId="38">
  <autoFilter ref="A1:C8" xr:uid="{20EF0379-6E65-4017-B7F0-DD24655EBC1D}"/>
  <tableColumns count="3">
    <tableColumn id="1" xr3:uid="{754CCB35-80FB-4DF8-AAF0-85B7D42478E8}" name="SUBJECT" dataDxfId="37"/>
    <tableColumn id="2" xr3:uid="{1B12812D-D57E-44CD-BB0F-AADFA481BD4C}" name="A" dataDxfId="36"/>
    <tableColumn id="3" xr3:uid="{C3319635-8E81-4466-8DC9-68C7C0A10824}" name="B" dataDxfId="35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408EEA-5709-46E0-B788-64BBA4807B1C}" name="Table2" displayName="Table2" ref="I1:M8" totalsRowShown="0">
  <autoFilter ref="I1:M8" xr:uid="{9E408EEA-5709-46E0-B788-64BBA4807B1C}"/>
  <tableColumns count="5">
    <tableColumn id="1" xr3:uid="{06949489-D259-4CDE-9C4D-6728FE5F20A2}" name="i" dataDxfId="32"/>
    <tableColumn id="2" xr3:uid="{784B86A8-B056-4186-9972-3DACAE4EF357}" name="1(1,1)">
      <calculatedColumnFormula>SQRT(POWER((B2-1),2)+POWER((C2-1),2))</calculatedColumnFormula>
    </tableColumn>
    <tableColumn id="3" xr3:uid="{B679FD0C-6647-4D55-8BA3-AE2EB6436D2A}" name="7(3.5,4.5)">
      <calculatedColumnFormula>SQRT(POWER((B2-3.5),2)+POWER((C2-4.5),2))</calculatedColumnFormula>
    </tableColumn>
    <tableColumn id="4" xr3:uid="{E6C8099F-14B0-4E07-AAA3-80F56C31A908}" name="6(5,7)">
      <calculatedColumnFormula>SQRT(POWER((B2-5),2)+POWER((C2-7),2))</calculatedColumnFormula>
    </tableColumn>
    <tableColumn id="5" xr3:uid="{3FED851A-92A9-4B9A-85DC-F850BF677990}" name="TYPE" dataDxfId="31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9E5422-3C46-4947-B134-2F855AC133B4}" name="Table3" displayName="Table3" ref="O1:Q6" totalsRowShown="0" headerRowDxfId="26" dataDxfId="27">
  <autoFilter ref="O1:Q6" xr:uid="{BC9E5422-3C46-4947-B134-2F855AC133B4}"/>
  <tableColumns count="3">
    <tableColumn id="1" xr3:uid="{8EADE2BA-6570-47F6-B1C3-F23DE15A232A}" name="1_MEAN" dataDxfId="30"/>
    <tableColumn id="2" xr3:uid="{0EBC04DE-63CA-4C14-A9B1-1F25AEF44932}" name="2_MEAN" dataDxfId="29"/>
    <tableColumn id="3" xr3:uid="{24FA2C0B-DC2C-4FD4-8DF2-932956889205}" name="3_MEAN" dataDxfId="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AFAEF9-4B13-452B-A985-6CBC7AC48132}" name="Table4" displayName="Table4" ref="O11:Q16" totalsRowShown="0" headerRowDxfId="21" dataDxfId="22">
  <autoFilter ref="O11:Q16" xr:uid="{2BAFAEF9-4B13-452B-A985-6CBC7AC48132}"/>
  <tableColumns count="3">
    <tableColumn id="1" xr3:uid="{DD313FDC-2DE4-41B8-BAA2-2E85CCA2F357}" name="1_MEAN" dataDxfId="25"/>
    <tableColumn id="2" xr3:uid="{8F975D45-5E4E-4A3B-BC20-A84AC013A09B}" name="2_MEAN" dataDxfId="24"/>
    <tableColumn id="3" xr3:uid="{2A49E59E-FAF3-4F23-8B13-2855AE361AFB}" name="3_MEAN" dataDxfId="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11200B-F04F-4355-93DC-B0C4FD61384D}" name="Table5" displayName="Table5" ref="I11:M18" totalsRowShown="0">
  <autoFilter ref="I11:M18" xr:uid="{E511200B-F04F-4355-93DC-B0C4FD61384D}"/>
  <tableColumns count="5">
    <tableColumn id="1" xr3:uid="{97F64EC1-DF70-407F-BCFF-2D5B0F4A3275}" name="i" dataDxfId="20"/>
    <tableColumn id="2" xr3:uid="{B129CB98-326C-4457-862D-923162897966}" name="1_MEAN">
      <calculatedColumnFormula>SQRT(POWER((B2-$O$3),2)+POWER((C2-$O$6),2))</calculatedColumnFormula>
    </tableColumn>
    <tableColumn id="3" xr3:uid="{5EA9941D-750B-4BD7-A261-B97F606F0438}" name="2_MEAN">
      <calculatedColumnFormula>SQRT(POWER((B2-$P$3),2)+POWER((C2-$P$6),2))</calculatedColumnFormula>
    </tableColumn>
    <tableColumn id="4" xr3:uid="{48BAA537-91FA-41D5-BDA1-9112B71591E4}" name="3_MEAN">
      <calculatedColumnFormula>SQRT(POWER((B2-$Q$3),2)+POWER((C12-$Q$6),2))</calculatedColumnFormula>
    </tableColumn>
    <tableColumn id="5" xr3:uid="{72109197-4B7E-4977-8A13-3582D514C6EC}" name="TYPE" dataDxfId="19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F8BAD9-BE72-4AB5-9FED-F90FCF900FE7}" name="Table6" displayName="Table6" ref="I21:L28" totalsRowShown="0">
  <autoFilter ref="I21:L28" xr:uid="{A2F8BAD9-BE72-4AB5-9FED-F90FCF900FE7}"/>
  <tableColumns count="4">
    <tableColumn id="1" xr3:uid="{9E38E104-4A2A-4671-AE69-392FEDC59DEB}" name="i" dataDxfId="18"/>
    <tableColumn id="2" xr3:uid="{28A20A61-A4DA-49B6-9C62-DB2F75F359E5}" name="1_MEAN">
      <calculatedColumnFormula>SQRT(POWER((B2-$O$13),2)+POWER((C2-$O$16),2))</calculatedColumnFormula>
    </tableColumn>
    <tableColumn id="3" xr3:uid="{03AA07AD-1BE3-4DBE-A6BA-5CEF7E110C33}" name="2_MEAN">
      <calculatedColumnFormula>SQRT(POWER((B2-$P$13),2)+POWER((C2-$P$16),2))</calculatedColumnFormula>
    </tableColumn>
    <tableColumn id="4" xr3:uid="{FDE68F63-E6BF-4BA6-B63F-AD803C9E1ACF}" name="TYPE" dataDxfId="1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24CDC-BDBC-461B-A3AA-03FF0DBCD9BB}">
  <dimension ref="A1:Q20"/>
  <sheetViews>
    <sheetView topLeftCell="A5" zoomScale="78" workbookViewId="0">
      <selection activeCell="K28" sqref="K28"/>
    </sheetView>
  </sheetViews>
  <sheetFormatPr defaultRowHeight="14.5" x14ac:dyDescent="0.35"/>
  <cols>
    <col min="1" max="1" width="11.453125" customWidth="1"/>
    <col min="8" max="8" width="9.81640625" customWidth="1"/>
    <col min="9" max="9" width="14" customWidth="1"/>
    <col min="10" max="10" width="12.08984375" customWidth="1"/>
    <col min="11" max="11" width="13.6328125" customWidth="1"/>
    <col min="12" max="12" width="13.54296875" customWidth="1"/>
    <col min="13" max="13" width="9.6328125" customWidth="1"/>
    <col min="14" max="14" width="16.453125" customWidth="1"/>
    <col min="15" max="15" width="12.1796875" customWidth="1"/>
    <col min="16" max="16" width="12.54296875" customWidth="1"/>
    <col min="17" max="17" width="10.81640625" customWidth="1"/>
  </cols>
  <sheetData>
    <row r="1" spans="1:17" x14ac:dyDescent="0.35">
      <c r="A1" s="1" t="s">
        <v>44</v>
      </c>
      <c r="B1" s="1" t="s">
        <v>0</v>
      </c>
      <c r="C1" s="1" t="s">
        <v>1</v>
      </c>
      <c r="I1" t="s">
        <v>10</v>
      </c>
      <c r="J1" t="s">
        <v>11</v>
      </c>
      <c r="K1" t="s">
        <v>12</v>
      </c>
      <c r="L1" t="s">
        <v>14</v>
      </c>
      <c r="M1" t="s">
        <v>13</v>
      </c>
      <c r="O1" t="s">
        <v>18</v>
      </c>
      <c r="P1" t="s">
        <v>19</v>
      </c>
      <c r="Q1" t="s">
        <v>20</v>
      </c>
    </row>
    <row r="2" spans="1:17" x14ac:dyDescent="0.35">
      <c r="A2" s="2" t="s">
        <v>2</v>
      </c>
      <c r="B2" s="2">
        <v>2</v>
      </c>
      <c r="C2" s="2">
        <v>10</v>
      </c>
      <c r="I2" s="2" t="s">
        <v>2</v>
      </c>
      <c r="J2">
        <f>SQRT(POWER((B2-2),2)+ POWER((C2-10),2))</f>
        <v>0</v>
      </c>
      <c r="K2">
        <f>SQRT(POWER((B2-8),2)+ POWER((C2-4),2))</f>
        <v>8.4852813742385695</v>
      </c>
      <c r="L2">
        <f>SQRT(POWER((B2-1),2)+ POWER((C2-2),2))</f>
        <v>8.0622577482985491</v>
      </c>
      <c r="M2" t="s">
        <v>15</v>
      </c>
      <c r="O2" t="s">
        <v>0</v>
      </c>
      <c r="P2" t="s">
        <v>0</v>
      </c>
      <c r="Q2" t="s">
        <v>0</v>
      </c>
    </row>
    <row r="3" spans="1:17" x14ac:dyDescent="0.35">
      <c r="A3" s="2" t="s">
        <v>3</v>
      </c>
      <c r="B3" s="2">
        <v>2</v>
      </c>
      <c r="C3" s="2">
        <v>5</v>
      </c>
      <c r="I3" s="2" t="s">
        <v>3</v>
      </c>
      <c r="J3">
        <f t="shared" ref="J3:J9" si="0">SQRT(POWER((B3-2),2)+ POWER((C3-10),2))</f>
        <v>5</v>
      </c>
      <c r="K3">
        <f t="shared" ref="K3:K7" si="1">SQRT(POWER((B3-8),2)+ POWER((C3-4),2))</f>
        <v>6.0827625302982193</v>
      </c>
      <c r="L3">
        <f t="shared" ref="L3:L9" si="2">SQRT(POWER((B3-1),2)+ POWER((C3-2),2))</f>
        <v>3.1622776601683795</v>
      </c>
      <c r="M3" t="s">
        <v>16</v>
      </c>
      <c r="O3">
        <f>(B2+B5+B9)/3</f>
        <v>3.6666666666666665</v>
      </c>
      <c r="P3">
        <f>(B4+B6+B7)/3</f>
        <v>7</v>
      </c>
      <c r="Q3">
        <f>(B3+B8)/2</f>
        <v>1.5</v>
      </c>
    </row>
    <row r="4" spans="1:17" x14ac:dyDescent="0.35">
      <c r="A4" s="2" t="s">
        <v>4</v>
      </c>
      <c r="B4" s="2">
        <v>8</v>
      </c>
      <c r="C4" s="2">
        <v>4</v>
      </c>
      <c r="I4" s="2" t="s">
        <v>4</v>
      </c>
      <c r="J4">
        <f t="shared" si="0"/>
        <v>8.4852813742385695</v>
      </c>
      <c r="K4">
        <f t="shared" si="1"/>
        <v>0</v>
      </c>
      <c r="L4">
        <f t="shared" si="2"/>
        <v>7.2801098892805181</v>
      </c>
      <c r="M4" t="s">
        <v>17</v>
      </c>
    </row>
    <row r="5" spans="1:17" x14ac:dyDescent="0.35">
      <c r="A5" s="2" t="s">
        <v>5</v>
      </c>
      <c r="B5" s="2">
        <v>5</v>
      </c>
      <c r="C5" s="2">
        <v>8</v>
      </c>
      <c r="I5" s="2" t="s">
        <v>5</v>
      </c>
      <c r="J5">
        <f t="shared" si="0"/>
        <v>3.6055512754639891</v>
      </c>
      <c r="K5">
        <f t="shared" si="1"/>
        <v>5</v>
      </c>
      <c r="L5">
        <f t="shared" si="2"/>
        <v>7.2111025509279782</v>
      </c>
      <c r="M5" t="s">
        <v>15</v>
      </c>
      <c r="O5" t="s">
        <v>1</v>
      </c>
      <c r="P5" t="s">
        <v>1</v>
      </c>
      <c r="Q5" t="s">
        <v>1</v>
      </c>
    </row>
    <row r="6" spans="1:17" x14ac:dyDescent="0.35">
      <c r="A6" s="2" t="s">
        <v>6</v>
      </c>
      <c r="B6" s="2">
        <v>7</v>
      </c>
      <c r="C6" s="2">
        <v>5</v>
      </c>
      <c r="I6" s="2" t="s">
        <v>6</v>
      </c>
      <c r="J6">
        <f t="shared" si="0"/>
        <v>7.0710678118654755</v>
      </c>
      <c r="K6">
        <f t="shared" si="1"/>
        <v>1.4142135623730951</v>
      </c>
      <c r="L6">
        <f t="shared" si="2"/>
        <v>6.7082039324993694</v>
      </c>
      <c r="M6" t="s">
        <v>17</v>
      </c>
      <c r="O6">
        <f>(C2+C5+C9)/3</f>
        <v>9</v>
      </c>
      <c r="P6">
        <f>(C4+C6+C7)/3</f>
        <v>4.333333333333333</v>
      </c>
      <c r="Q6">
        <f>(C3+C8)/2</f>
        <v>3.5</v>
      </c>
    </row>
    <row r="7" spans="1:17" x14ac:dyDescent="0.35">
      <c r="A7" s="2" t="s">
        <v>7</v>
      </c>
      <c r="B7" s="2">
        <v>6</v>
      </c>
      <c r="C7" s="2">
        <v>4</v>
      </c>
      <c r="I7" s="2" t="s">
        <v>7</v>
      </c>
      <c r="J7">
        <f t="shared" si="0"/>
        <v>7.2111025509279782</v>
      </c>
      <c r="K7">
        <f t="shared" si="1"/>
        <v>2</v>
      </c>
      <c r="L7">
        <f t="shared" si="2"/>
        <v>5.3851648071345037</v>
      </c>
      <c r="M7" t="s">
        <v>17</v>
      </c>
    </row>
    <row r="8" spans="1:17" x14ac:dyDescent="0.35">
      <c r="A8" s="2" t="s">
        <v>8</v>
      </c>
      <c r="B8" s="2">
        <v>1</v>
      </c>
      <c r="C8" s="2">
        <v>2</v>
      </c>
      <c r="I8" s="2" t="s">
        <v>8</v>
      </c>
      <c r="J8">
        <f t="shared" si="0"/>
        <v>8.0622577482985491</v>
      </c>
      <c r="K8">
        <f>SQRT(POWER((B8-8),2)+ POWER((C8-4),2))</f>
        <v>7.2801098892805181</v>
      </c>
      <c r="L8">
        <f t="shared" si="2"/>
        <v>0</v>
      </c>
      <c r="M8" t="s">
        <v>16</v>
      </c>
    </row>
    <row r="9" spans="1:17" x14ac:dyDescent="0.35">
      <c r="A9" s="2" t="s">
        <v>9</v>
      </c>
      <c r="B9" s="2">
        <v>4</v>
      </c>
      <c r="C9" s="2">
        <v>9</v>
      </c>
      <c r="I9" s="2" t="s">
        <v>9</v>
      </c>
      <c r="J9">
        <f t="shared" si="0"/>
        <v>2.2360679774997898</v>
      </c>
      <c r="K9">
        <f>SQRT(POWER((B9-8),2)+ POWER((C9-4),2))</f>
        <v>6.4031242374328485</v>
      </c>
      <c r="L9">
        <f t="shared" si="2"/>
        <v>7.6157731058639087</v>
      </c>
      <c r="M9" t="s">
        <v>15</v>
      </c>
    </row>
    <row r="12" spans="1:17" x14ac:dyDescent="0.35">
      <c r="I12" t="s">
        <v>10</v>
      </c>
      <c r="J12" t="s">
        <v>18</v>
      </c>
      <c r="K12" t="s">
        <v>19</v>
      </c>
      <c r="L12" t="s">
        <v>20</v>
      </c>
      <c r="M12" t="s">
        <v>13</v>
      </c>
    </row>
    <row r="13" spans="1:17" x14ac:dyDescent="0.35">
      <c r="I13" s="2" t="s">
        <v>2</v>
      </c>
      <c r="J13">
        <f>SQRT(POWER((B2-$O$3),2)+ POWER((C2-$O$6),2))</f>
        <v>1.9436506316151001</v>
      </c>
      <c r="K13">
        <f>SQRT(POWER((B2-$P$3),2)+ POWER((C2-$P$6),2))</f>
        <v>7.5571893658364226</v>
      </c>
      <c r="L13">
        <f>SQRT(POWER((B2-$Q$3),2)+ POWER((C2-$Q$6),2))</f>
        <v>6.5192024052026492</v>
      </c>
      <c r="M13" t="s">
        <v>15</v>
      </c>
    </row>
    <row r="14" spans="1:17" x14ac:dyDescent="0.35">
      <c r="I14" s="2" t="s">
        <v>3</v>
      </c>
      <c r="J14">
        <f>SQRT(POWER((B3-$O$3),2)+ POWER((C3-$O$6),2))</f>
        <v>4.333333333333333</v>
      </c>
      <c r="K14">
        <f>SQRT(POWER((B3-$P$3),2)+ POWER((C3-$P$6),2))</f>
        <v>5.0442486501405188</v>
      </c>
      <c r="L14">
        <f>SQRT(POWER((B3-$Q$3),2)+ POWER((C3-$Q$6),2))</f>
        <v>1.5811388300841898</v>
      </c>
      <c r="M14" t="s">
        <v>16</v>
      </c>
    </row>
    <row r="15" spans="1:17" x14ac:dyDescent="0.35">
      <c r="I15" s="2" t="s">
        <v>4</v>
      </c>
      <c r="J15">
        <f>SQRT(POWER((B4-$O$3),2)+ POWER((C4-$O$6),2))</f>
        <v>6.6164777470930698</v>
      </c>
      <c r="K15">
        <f>SQRT(POWER((B4-$P$3),2)+ POWER((C4-$P$6),2))</f>
        <v>1.0540925533894596</v>
      </c>
      <c r="L15">
        <f>SQRT(POWER((B4-$Q$3),2)+ POWER((C4-$Q$6),2))</f>
        <v>6.5192024052026492</v>
      </c>
      <c r="M15" t="s">
        <v>17</v>
      </c>
      <c r="O15" s="8" t="s">
        <v>45</v>
      </c>
    </row>
    <row r="16" spans="1:17" x14ac:dyDescent="0.35">
      <c r="I16" s="2" t="s">
        <v>5</v>
      </c>
      <c r="J16">
        <f>SQRT(POWER((B5-$O$3),2)+ POWER((C5-$O$6),2))</f>
        <v>1.6666666666666667</v>
      </c>
      <c r="K16">
        <f>SQRT(POWER((B5-$P$3),2)+ POWER((C5-$P$6),2))</f>
        <v>4.1766546953805559</v>
      </c>
      <c r="L16">
        <f>SQRT(POWER((B5-$Q$3),2)+ POWER((C5-$Q$6),2))</f>
        <v>5.7008771254956896</v>
      </c>
      <c r="M16" t="s">
        <v>15</v>
      </c>
    </row>
    <row r="17" spans="9:13" x14ac:dyDescent="0.35">
      <c r="I17" s="2" t="s">
        <v>6</v>
      </c>
      <c r="J17">
        <f>SQRT(POWER((B6-$O$3),2)+ POWER((C6-$O$6),2))</f>
        <v>5.2068331172711035</v>
      </c>
      <c r="K17">
        <f>SQRT(POWER((B6-$P$3),2)+ POWER((C6-$P$6),2))</f>
        <v>0.66666666666666696</v>
      </c>
      <c r="L17">
        <f>SQRT(POWER((B6-$Q$3),2)+ POWER((C6-$Q$6),2))</f>
        <v>5.7008771254956896</v>
      </c>
      <c r="M17" t="s">
        <v>17</v>
      </c>
    </row>
    <row r="18" spans="9:13" x14ac:dyDescent="0.35">
      <c r="I18" s="2" t="s">
        <v>7</v>
      </c>
      <c r="J18">
        <f>SQRT(POWER((B7-$O$3),2)+ POWER((C7-$O$6),2))</f>
        <v>5.5176484524156164</v>
      </c>
      <c r="K18">
        <f>SQRT(POWER((B7-$P$3),2)+ POWER((C7-$P$6),2))</f>
        <v>1.0540925533894596</v>
      </c>
      <c r="L18">
        <f>SQRT(POWER((B7-$Q$3),2)+ POWER((C7-$Q$6),2))</f>
        <v>4.5276925690687087</v>
      </c>
      <c r="M18" t="s">
        <v>17</v>
      </c>
    </row>
    <row r="19" spans="9:13" x14ac:dyDescent="0.35">
      <c r="I19" s="2" t="s">
        <v>8</v>
      </c>
      <c r="J19">
        <f>SQRT(POWER((B8-$O$3),2)+ POWER((C8-$O$6),2))</f>
        <v>7.490735018081411</v>
      </c>
      <c r="K19">
        <f>SQRT(POWER((B8-$P$3),2)+ POWER((C8-$P$6),2))</f>
        <v>6.4377359719426552</v>
      </c>
      <c r="L19">
        <f>SQRT(POWER((B8-$Q$3),2)+ POWER((C8-$Q$6),2))</f>
        <v>1.5811388300841898</v>
      </c>
      <c r="M19" t="s">
        <v>16</v>
      </c>
    </row>
    <row r="20" spans="9:13" x14ac:dyDescent="0.35">
      <c r="I20" s="2" t="s">
        <v>9</v>
      </c>
      <c r="J20">
        <f>SQRT(POWER((B9-$O$3),2)+ POWER((C9-$O$6),2))</f>
        <v>0.33333333333333348</v>
      </c>
      <c r="K20">
        <f>SQRT(POWER((B9-$P$3),2)+ POWER((C9-$P$6),2))</f>
        <v>5.5477723256977463</v>
      </c>
      <c r="L20">
        <f>SQRT(POWER((B9-$Q$3),2)+ POWER((C9-$Q$6),2))</f>
        <v>6.0415229867972862</v>
      </c>
      <c r="M20" t="s">
        <v>15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38AA-203D-45D4-B468-676964182E07}">
  <dimension ref="G1:J17"/>
  <sheetViews>
    <sheetView tabSelected="1" workbookViewId="0">
      <selection activeCell="F18" sqref="F18"/>
    </sheetView>
  </sheetViews>
  <sheetFormatPr defaultRowHeight="14.5" x14ac:dyDescent="0.35"/>
  <cols>
    <col min="9" max="9" width="29.81640625" customWidth="1"/>
    <col min="10" max="10" width="31.26953125" customWidth="1"/>
    <col min="11" max="11" width="27.26953125" customWidth="1"/>
  </cols>
  <sheetData>
    <row r="1" spans="7:10" x14ac:dyDescent="0.35">
      <c r="I1" t="s">
        <v>21</v>
      </c>
      <c r="J1" t="s">
        <v>22</v>
      </c>
    </row>
    <row r="2" spans="7:10" x14ac:dyDescent="0.35">
      <c r="I2" s="3">
        <v>0.6</v>
      </c>
      <c r="J2" s="3">
        <v>0.375</v>
      </c>
    </row>
    <row r="4" spans="7:10" x14ac:dyDescent="0.35">
      <c r="I4" t="s">
        <v>23</v>
      </c>
      <c r="J4" t="s">
        <v>24</v>
      </c>
    </row>
    <row r="5" spans="7:10" x14ac:dyDescent="0.35">
      <c r="I5" s="3">
        <v>0.6</v>
      </c>
      <c r="J5" s="3">
        <v>0.33333333333333331</v>
      </c>
    </row>
    <row r="7" spans="7:10" x14ac:dyDescent="0.35">
      <c r="I7" t="s">
        <v>25</v>
      </c>
      <c r="J7" t="s">
        <v>26</v>
      </c>
    </row>
    <row r="8" spans="7:10" x14ac:dyDescent="0.35">
      <c r="I8" s="3">
        <v>0.2</v>
      </c>
      <c r="J8" s="3">
        <v>0.66666666666666663</v>
      </c>
    </row>
    <row r="10" spans="7:10" x14ac:dyDescent="0.35">
      <c r="I10" t="s">
        <v>27</v>
      </c>
      <c r="J10" t="s">
        <v>28</v>
      </c>
    </row>
    <row r="11" spans="7:10" x14ac:dyDescent="0.35">
      <c r="I11" s="3">
        <v>0.4</v>
      </c>
      <c r="J11" s="3">
        <v>0.33333333333333331</v>
      </c>
    </row>
    <row r="13" spans="7:10" x14ac:dyDescent="0.35">
      <c r="I13" t="s">
        <v>29</v>
      </c>
      <c r="J13" t="s">
        <v>30</v>
      </c>
    </row>
    <row r="14" spans="7:10" x14ac:dyDescent="0.35">
      <c r="I14" s="3">
        <v>0.8</v>
      </c>
      <c r="J14" s="3">
        <v>0.33333333333333331</v>
      </c>
    </row>
    <row r="16" spans="7:10" x14ac:dyDescent="0.35">
      <c r="G16" s="7" t="s">
        <v>1</v>
      </c>
      <c r="I16" t="s">
        <v>31</v>
      </c>
      <c r="J16" t="s">
        <v>32</v>
      </c>
    </row>
    <row r="17" spans="9:10" x14ac:dyDescent="0.35">
      <c r="I17">
        <f>I2*I5*I8*I11*I14</f>
        <v>2.3040000000000001E-2</v>
      </c>
      <c r="J17">
        <f>J2*J5*J8*J11*J14</f>
        <v>9.2592592592592587E-3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E2B0-3A2E-4C9C-8647-5652938A5292}">
  <dimension ref="A1:Q28"/>
  <sheetViews>
    <sheetView topLeftCell="A2" zoomScale="69" workbookViewId="0">
      <selection activeCell="G6" sqref="G6"/>
    </sheetView>
  </sheetViews>
  <sheetFormatPr defaultRowHeight="14.5" x14ac:dyDescent="0.35"/>
  <cols>
    <col min="1" max="1" width="10.08984375" customWidth="1"/>
    <col min="10" max="10" width="12.7265625" customWidth="1"/>
    <col min="11" max="11" width="13.453125" customWidth="1"/>
    <col min="12" max="12" width="12.08984375" customWidth="1"/>
    <col min="13" max="13" width="11.6328125" customWidth="1"/>
    <col min="14" max="14" width="9.453125" customWidth="1"/>
    <col min="15" max="16" width="13.1796875" customWidth="1"/>
    <col min="17" max="17" width="17" customWidth="1"/>
  </cols>
  <sheetData>
    <row r="1" spans="1:17" x14ac:dyDescent="0.35">
      <c r="A1" s="5" t="s">
        <v>33</v>
      </c>
      <c r="B1" s="5" t="s">
        <v>34</v>
      </c>
      <c r="C1" s="5" t="s">
        <v>35</v>
      </c>
      <c r="I1" s="4" t="s">
        <v>10</v>
      </c>
      <c r="J1" t="s">
        <v>36</v>
      </c>
      <c r="K1" t="s">
        <v>37</v>
      </c>
      <c r="L1" t="s">
        <v>38</v>
      </c>
      <c r="M1" s="4" t="s">
        <v>39</v>
      </c>
      <c r="O1" s="4" t="s">
        <v>40</v>
      </c>
      <c r="P1" s="4" t="s">
        <v>41</v>
      </c>
      <c r="Q1" s="4" t="s">
        <v>42</v>
      </c>
    </row>
    <row r="2" spans="1:17" x14ac:dyDescent="0.35">
      <c r="A2" s="5">
        <v>1</v>
      </c>
      <c r="B2" s="5">
        <v>1</v>
      </c>
      <c r="C2" s="5">
        <v>1</v>
      </c>
      <c r="I2" s="4">
        <v>1</v>
      </c>
      <c r="J2">
        <f>SQRT(POWER((B2-1),2)+POWER((C2-1),2))</f>
        <v>0</v>
      </c>
      <c r="K2">
        <f>SQRT(POWER((B2-3.5),2)+POWER((C2-4.5),2))</f>
        <v>4.3011626335213133</v>
      </c>
      <c r="L2">
        <f>SQRT(POWER((B2-5),2)+POWER((C2-7),2))</f>
        <v>7.2111025509279782</v>
      </c>
      <c r="M2" s="4">
        <v>1</v>
      </c>
      <c r="O2" s="4" t="s">
        <v>0</v>
      </c>
      <c r="P2" s="4" t="s">
        <v>0</v>
      </c>
      <c r="Q2" s="4" t="s">
        <v>0</v>
      </c>
    </row>
    <row r="3" spans="1:17" x14ac:dyDescent="0.35">
      <c r="A3" s="5">
        <v>2</v>
      </c>
      <c r="B3" s="5">
        <v>1.5</v>
      </c>
      <c r="C3" s="5">
        <v>2</v>
      </c>
      <c r="I3" s="4">
        <v>2</v>
      </c>
      <c r="J3">
        <f t="shared" ref="J3:J8" si="0">SQRT(POWER((B3-1),2)+POWER((C3-1),2))</f>
        <v>1.1180339887498949</v>
      </c>
      <c r="K3">
        <f t="shared" ref="K3:K8" si="1">SQRT(POWER((B3-3.5),2)+POWER((C3-4.5),2))</f>
        <v>3.2015621187164243</v>
      </c>
      <c r="L3">
        <f t="shared" ref="L3:L8" si="2">SQRT(POWER((B3-5),2)+POWER((C3-7),2))</f>
        <v>6.103277807866851</v>
      </c>
      <c r="M3" s="4">
        <v>1</v>
      </c>
      <c r="O3" s="4">
        <f>(B2+B3)/2</f>
        <v>1.25</v>
      </c>
      <c r="P3" s="4">
        <f>(B4+B6+B7+B8)/4</f>
        <v>3.625</v>
      </c>
      <c r="Q3" s="4">
        <v>5</v>
      </c>
    </row>
    <row r="4" spans="1:17" x14ac:dyDescent="0.35">
      <c r="A4" s="5">
        <v>3</v>
      </c>
      <c r="B4" s="5">
        <v>3</v>
      </c>
      <c r="C4" s="5">
        <v>4</v>
      </c>
      <c r="I4" s="4">
        <v>3</v>
      </c>
      <c r="J4">
        <f t="shared" si="0"/>
        <v>3.6055512754639891</v>
      </c>
      <c r="K4">
        <f t="shared" si="1"/>
        <v>0.70710678118654757</v>
      </c>
      <c r="L4">
        <f t="shared" si="2"/>
        <v>3.6055512754639891</v>
      </c>
      <c r="M4" s="4">
        <v>2</v>
      </c>
      <c r="O4" s="4"/>
      <c r="P4" s="4"/>
      <c r="Q4" s="4"/>
    </row>
    <row r="5" spans="1:17" x14ac:dyDescent="0.35">
      <c r="A5" s="5">
        <v>4</v>
      </c>
      <c r="B5" s="5">
        <v>5</v>
      </c>
      <c r="C5" s="5">
        <v>7</v>
      </c>
      <c r="I5" s="4">
        <v>4</v>
      </c>
      <c r="J5">
        <f t="shared" si="0"/>
        <v>7.2111025509279782</v>
      </c>
      <c r="K5">
        <f t="shared" si="1"/>
        <v>2.9154759474226504</v>
      </c>
      <c r="L5">
        <f t="shared" si="2"/>
        <v>0</v>
      </c>
      <c r="M5" s="4">
        <v>3</v>
      </c>
      <c r="O5" s="4" t="s">
        <v>1</v>
      </c>
      <c r="P5" s="4" t="s">
        <v>1</v>
      </c>
      <c r="Q5" s="4" t="s">
        <v>1</v>
      </c>
    </row>
    <row r="6" spans="1:17" x14ac:dyDescent="0.35">
      <c r="A6" s="5">
        <v>5</v>
      </c>
      <c r="B6" s="5">
        <v>3.5</v>
      </c>
      <c r="C6" s="5">
        <v>5</v>
      </c>
      <c r="I6" s="4">
        <v>5</v>
      </c>
      <c r="J6">
        <f t="shared" si="0"/>
        <v>4.7169905660283016</v>
      </c>
      <c r="K6">
        <f t="shared" si="1"/>
        <v>0.5</v>
      </c>
      <c r="L6">
        <f t="shared" si="2"/>
        <v>2.5</v>
      </c>
      <c r="M6" s="4">
        <v>2</v>
      </c>
      <c r="O6" s="4">
        <f>(C2+C3)/2</f>
        <v>1.5</v>
      </c>
      <c r="P6" s="4">
        <f>(C4+C6+C7+C8)/4</f>
        <v>4.625</v>
      </c>
      <c r="Q6" s="4">
        <v>7</v>
      </c>
    </row>
    <row r="7" spans="1:17" x14ac:dyDescent="0.35">
      <c r="A7" s="5">
        <v>6</v>
      </c>
      <c r="B7" s="5">
        <v>4.5</v>
      </c>
      <c r="C7" s="5">
        <v>5</v>
      </c>
      <c r="I7" s="4">
        <v>6</v>
      </c>
      <c r="J7">
        <f t="shared" si="0"/>
        <v>5.315072906367325</v>
      </c>
      <c r="K7">
        <f t="shared" si="1"/>
        <v>1.1180339887498949</v>
      </c>
      <c r="L7">
        <f t="shared" si="2"/>
        <v>2.0615528128088303</v>
      </c>
      <c r="M7" s="4">
        <v>2</v>
      </c>
    </row>
    <row r="8" spans="1:17" x14ac:dyDescent="0.35">
      <c r="A8" s="5">
        <v>7</v>
      </c>
      <c r="B8" s="5">
        <v>3.5</v>
      </c>
      <c r="C8" s="5">
        <v>4.5</v>
      </c>
      <c r="I8" s="4">
        <v>7</v>
      </c>
      <c r="J8">
        <f t="shared" si="0"/>
        <v>4.3011626335213133</v>
      </c>
      <c r="K8">
        <f t="shared" si="1"/>
        <v>0</v>
      </c>
      <c r="L8">
        <f t="shared" si="2"/>
        <v>2.9154759474226504</v>
      </c>
      <c r="M8" s="4">
        <v>2</v>
      </c>
    </row>
    <row r="11" spans="1:17" x14ac:dyDescent="0.35">
      <c r="I11" s="4" t="s">
        <v>10</v>
      </c>
      <c r="J11" t="s">
        <v>40</v>
      </c>
      <c r="K11" t="s">
        <v>41</v>
      </c>
      <c r="L11" t="s">
        <v>42</v>
      </c>
      <c r="M11" s="4" t="s">
        <v>39</v>
      </c>
      <c r="O11" s="4" t="s">
        <v>40</v>
      </c>
      <c r="P11" s="4" t="s">
        <v>41</v>
      </c>
      <c r="Q11" s="4" t="s">
        <v>42</v>
      </c>
    </row>
    <row r="12" spans="1:17" x14ac:dyDescent="0.35">
      <c r="I12" s="4">
        <v>1</v>
      </c>
      <c r="J12">
        <f>SQRT(POWER((B2-$O$3),2)+POWER((C2-$O$6),2))</f>
        <v>0.55901699437494745</v>
      </c>
      <c r="K12">
        <f>SQRT(POWER((B2-$P$3),2)+POWER((C2-$P$6),2))</f>
        <v>4.4756284474920394</v>
      </c>
      <c r="L12">
        <f>SQRT(POWER((B2-$Q$3),2)+POWER((C12-$Q$6),2))</f>
        <v>8.0622577482985491</v>
      </c>
      <c r="M12" s="4">
        <v>1</v>
      </c>
      <c r="O12" s="4" t="s">
        <v>0</v>
      </c>
      <c r="P12" s="4" t="s">
        <v>0</v>
      </c>
      <c r="Q12" s="4" t="s">
        <v>0</v>
      </c>
    </row>
    <row r="13" spans="1:17" x14ac:dyDescent="0.35">
      <c r="I13" s="4">
        <v>2</v>
      </c>
      <c r="J13">
        <f>SQRT(POWER((B3-$O$3),2)+POWER((C3-$O$6),2))</f>
        <v>0.55901699437494745</v>
      </c>
      <c r="K13">
        <f>SQRT(POWER((B3-$P$3),2)+POWER((C3-$P$6),2))</f>
        <v>3.377314021526574</v>
      </c>
      <c r="L13">
        <f>SQRT(POWER((B3-$Q$3),2)+POWER((C13-$Q$6),2))</f>
        <v>7.8262379212492643</v>
      </c>
      <c r="M13" s="4">
        <v>1</v>
      </c>
      <c r="O13" s="4">
        <f>(B2+B3)/2</f>
        <v>1.25</v>
      </c>
      <c r="P13" s="4">
        <f>(B4+B5+B6+B7+B8)/5</f>
        <v>3.9</v>
      </c>
      <c r="Q13" s="4">
        <v>0</v>
      </c>
    </row>
    <row r="14" spans="1:17" x14ac:dyDescent="0.35">
      <c r="I14" s="4">
        <v>3</v>
      </c>
      <c r="J14">
        <f>SQRT(POWER((B4-$O$3),2)+POWER((C4-$O$6),2))</f>
        <v>3.0516389039334255</v>
      </c>
      <c r="K14">
        <f>SQRT(POWER((B4-$P$3),2)+POWER((C4-$P$6),2))</f>
        <v>0.88388347648318444</v>
      </c>
      <c r="L14">
        <f>SQRT(POWER((B4-$Q$3),2)+POWER((C14-$Q$6),2))</f>
        <v>7.2801098892805181</v>
      </c>
      <c r="M14" s="4">
        <v>2</v>
      </c>
      <c r="O14" s="4"/>
      <c r="P14" s="4"/>
      <c r="Q14" s="4"/>
    </row>
    <row r="15" spans="1:17" x14ac:dyDescent="0.35">
      <c r="I15" s="4">
        <v>4</v>
      </c>
      <c r="J15">
        <f>SQRT(POWER((B5-$O$3),2)+POWER((C5-$O$6),2))</f>
        <v>6.656763477847174</v>
      </c>
      <c r="K15">
        <f>SQRT(POWER((B5-$P$3),2)+POWER((C5-$P$6),2))</f>
        <v>2.7443123000125187</v>
      </c>
      <c r="L15">
        <f>SQRT(POWER((B5-$Q$3),2)+POWER((C15-$Q$6),2))</f>
        <v>7</v>
      </c>
      <c r="M15" s="4">
        <v>2</v>
      </c>
      <c r="O15" s="4" t="s">
        <v>1</v>
      </c>
      <c r="P15" s="4" t="s">
        <v>1</v>
      </c>
      <c r="Q15" s="4" t="s">
        <v>1</v>
      </c>
    </row>
    <row r="16" spans="1:17" x14ac:dyDescent="0.35">
      <c r="I16" s="4">
        <v>5</v>
      </c>
      <c r="J16">
        <f>SQRT(POWER((B6-$O$3),2)+POWER((C6-$O$6),2))</f>
        <v>4.1608292442733097</v>
      </c>
      <c r="K16">
        <f>SQRT(POWER((B6-$P$3),2)+POWER((C6-$P$6),2))</f>
        <v>0.39528470752104744</v>
      </c>
      <c r="L16">
        <f>SQRT(POWER((B6-$Q$3),2)+POWER((C16-$Q$6),2))</f>
        <v>7.1589105316381767</v>
      </c>
      <c r="M16" s="4">
        <v>2</v>
      </c>
      <c r="O16" s="4">
        <f>(C2+C3)/2</f>
        <v>1.5</v>
      </c>
      <c r="P16" s="4">
        <f>(C4+C5+C6+C7+C8)/5</f>
        <v>5.0999999999999996</v>
      </c>
      <c r="Q16" s="4">
        <v>0</v>
      </c>
    </row>
    <row r="17" spans="9:14" x14ac:dyDescent="0.35">
      <c r="I17" s="4">
        <v>6</v>
      </c>
      <c r="J17">
        <f>SQRT(POWER((B7-$O$3),2)+POWER((C7-$O$6),2))</f>
        <v>4.7762432936356998</v>
      </c>
      <c r="K17">
        <f>SQRT(POWER((B7-$P$3),2)+POWER((C7-$P$6),2))</f>
        <v>0.95197163823298858</v>
      </c>
      <c r="L17">
        <f>SQRT(POWER((B7-$Q$3),2)+POWER((C17-$Q$6),2))</f>
        <v>7.0178344238090995</v>
      </c>
      <c r="M17" s="4">
        <v>2</v>
      </c>
    </row>
    <row r="18" spans="9:14" x14ac:dyDescent="0.35">
      <c r="I18" s="4">
        <v>7</v>
      </c>
      <c r="J18">
        <f>SQRT(POWER((B8-$O$3),2)+POWER((C8-$O$6),2))</f>
        <v>3.75</v>
      </c>
      <c r="K18">
        <f>SQRT(POWER((B8-$P$3),2)+POWER((C8-$P$6),2))</f>
        <v>0.17677669529663689</v>
      </c>
      <c r="L18">
        <f>SQRT(POWER((B8-$Q$3),2)+POWER((C18-$Q$6),2))</f>
        <v>7.1589105316381767</v>
      </c>
      <c r="M18" s="4">
        <v>2</v>
      </c>
    </row>
    <row r="21" spans="9:14" x14ac:dyDescent="0.35">
      <c r="I21" s="4" t="s">
        <v>10</v>
      </c>
      <c r="J21" t="s">
        <v>40</v>
      </c>
      <c r="K21" t="s">
        <v>41</v>
      </c>
      <c r="L21" s="4" t="s">
        <v>39</v>
      </c>
    </row>
    <row r="22" spans="9:14" x14ac:dyDescent="0.35">
      <c r="I22" s="4">
        <v>1</v>
      </c>
      <c r="J22">
        <f>SQRT(POWER((B2-$O$13),2)+POWER((C2-$O$16),2))</f>
        <v>0.55901699437494745</v>
      </c>
      <c r="K22">
        <f>SQRT(POWER((B2-$P$13),2)+POWER((C2-$P$16),2))</f>
        <v>5.0219518117958879</v>
      </c>
      <c r="L22" s="4">
        <v>1</v>
      </c>
    </row>
    <row r="23" spans="9:14" x14ac:dyDescent="0.35">
      <c r="I23" s="4">
        <v>2</v>
      </c>
      <c r="J23">
        <f>SQRT(POWER((B3-$O$13),2)+POWER((C3-$O$16),2))</f>
        <v>0.55901699437494745</v>
      </c>
      <c r="K23">
        <f>SQRT(POWER((B3-$P$13),2)+POWER((C3-$P$16),2))</f>
        <v>3.9204591567825315</v>
      </c>
      <c r="L23" s="4">
        <v>1</v>
      </c>
    </row>
    <row r="24" spans="9:14" x14ac:dyDescent="0.35">
      <c r="I24" s="4">
        <v>3</v>
      </c>
      <c r="J24">
        <f>SQRT(POWER((B4-$O$13),2)+POWER((C4-$O$16),2))</f>
        <v>3.0516389039334255</v>
      </c>
      <c r="K24">
        <f>SQRT(POWER((B4-$P$13),2)+POWER((C4-$P$16),2))</f>
        <v>1.4212670403551892</v>
      </c>
      <c r="L24" s="4">
        <v>2</v>
      </c>
      <c r="N24" s="6" t="s">
        <v>43</v>
      </c>
    </row>
    <row r="25" spans="9:14" x14ac:dyDescent="0.35">
      <c r="I25" s="4">
        <v>4</v>
      </c>
      <c r="J25">
        <f>SQRT(POWER((B5-$O$13),2)+POWER((C5-$O$16),2))</f>
        <v>6.656763477847174</v>
      </c>
      <c r="K25">
        <f>SQRT(POWER((B5-$P$13),2)+POWER((C5-$P$16),2))</f>
        <v>2.1954498400100153</v>
      </c>
      <c r="L25" s="4">
        <v>2</v>
      </c>
    </row>
    <row r="26" spans="9:14" x14ac:dyDescent="0.35">
      <c r="I26" s="4">
        <v>5</v>
      </c>
      <c r="J26">
        <f>SQRT(POWER((B6-$O$13),2)+POWER((C6-$O$16),2))</f>
        <v>4.1608292442733097</v>
      </c>
      <c r="K26">
        <f>SQRT(POWER((B6-$P$13),2)+POWER((C6-$P$16),2))</f>
        <v>0.41231056256176585</v>
      </c>
      <c r="L26" s="4">
        <v>2</v>
      </c>
    </row>
    <row r="27" spans="9:14" x14ac:dyDescent="0.35">
      <c r="I27" s="4">
        <v>6</v>
      </c>
      <c r="J27">
        <f>SQRT(POWER((B7-$O$13),2)+POWER((C7-$O$16),2))</f>
        <v>4.7762432936356998</v>
      </c>
      <c r="K27">
        <f>SQRT(POWER((B7-$P$13),2)+POWER((C7-$P$16),2))</f>
        <v>0.60827625302982202</v>
      </c>
      <c r="L27" s="4">
        <v>2</v>
      </c>
    </row>
    <row r="28" spans="9:14" x14ac:dyDescent="0.35">
      <c r="I28" s="4">
        <v>7</v>
      </c>
      <c r="J28">
        <f>SQRT(POWER((B8-$O$13),2)+POWER((C8-$O$16),2))</f>
        <v>3.75</v>
      </c>
      <c r="K28">
        <f>SQRT(POWER((B8-$P$13),2)+POWER((C8-$P$16),2))</f>
        <v>0.72111025509279758</v>
      </c>
      <c r="L28" s="4">
        <v>2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cluster1</vt:lpstr>
      <vt:lpstr>classifaction</vt:lpstr>
      <vt:lpstr>cluster2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 ashraf</dc:creator>
  <cp:lastModifiedBy>معاذ اشرف صبحي توفيق</cp:lastModifiedBy>
  <dcterms:created xsi:type="dcterms:W3CDTF">2026-02-21T11:56:52Z</dcterms:created>
  <dcterms:modified xsi:type="dcterms:W3CDTF">2026-02-21T21:47:18Z</dcterms:modified>
</cp:coreProperties>
</file>